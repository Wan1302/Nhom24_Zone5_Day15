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<sst xmlns="http://schemas.openxmlformats.org/spreadsheetml/2006/main" count="50" uniqueCount="39">
  <si>
    <t>Zone 5</t>
  </si>
  <si>
    <t>Nhóm 1</t>
  </si>
  <si>
    <t>Nhóm 6</t>
  </si>
  <si>
    <t>EcoSense</t>
  </si>
  <si>
    <t>usecase clear, có kiến trúc cụ thể</t>
  </si>
  <si>
    <t xml:space="preserve">cost ở mức dự đoán, chưa có cost thực tế cho các tool </t>
  </si>
  <si>
    <t>các chỉ số để tính thì sẽ thu thập từ các bên nào, có uy tín để đánh giá ko</t>
  </si>
  <si>
    <t>Best Critical Feedback</t>
  </si>
  <si>
    <t>NHÓM 6</t>
  </si>
  <si>
    <t>NHÓM 1</t>
  </si>
  <si>
    <t>Nhóm 5</t>
  </si>
  <si>
    <t>Site Selection for Vinhomes projects</t>
  </si>
  <si>
    <t>Use case rõ ràng, kiến trúc cụ thể</t>
  </si>
  <si>
    <t>cost, chi phí duy trì công nghệ chưa clear vì cần rất nhiều tools trong kiến trúc để tính toán giá đất thực tế</t>
  </si>
  <si>
    <t>nhóm ko có câu hỏi nào ạ</t>
  </si>
  <si>
    <t>Best Cost Thinking, Best Reliability Mindset, Best Track Recommendation</t>
  </si>
  <si>
    <t>NHÓM 5</t>
  </si>
  <si>
    <t>Nhóm 3</t>
  </si>
  <si>
    <t>University admissions and student support agent</t>
  </si>
  <si>
    <t>Kiến trúc rõ ràng, slide clear</t>
  </si>
  <si>
    <t>cost, chưa clear vì chi phí mvp và chi phí production chưa kỹ</t>
  </si>
  <si>
    <t>nguồn dữ liệu thu thập sẽ triển khai như thế nào</t>
  </si>
  <si>
    <t>Best Enterprise Logic, Best Cost Thinking, Best Track Recommendation</t>
  </si>
  <si>
    <t>NHÓM 3</t>
  </si>
  <si>
    <t>Team 1</t>
  </si>
  <si>
    <t>Team 2</t>
  </si>
  <si>
    <t>AISA: Ai student advisor</t>
  </si>
  <si>
    <t>Có usecase cụ thể</t>
  </si>
  <si>
    <t>chi phí chưa clear, hoàn vốn trong 8-10 tháng là ko hợp lí vì mùa tuyển sinh rất nhanh, user chỉ dùng 1 lần</t>
  </si>
  <si>
    <t>dữ liệu mà dự án sử dụng sẽ thu thập qua đâu, các dữ liệu cần độ bảo mật sẽ bảo mật như thế nào</t>
  </si>
  <si>
    <t>Best Reliability Mindset</t>
  </si>
  <si>
    <t>NHÓM 2</t>
  </si>
  <si>
    <t>Team 4</t>
  </si>
  <si>
    <t>Vinfast car selling ai consultant</t>
  </si>
  <si>
    <t>Use case cụ thể, có thiết kế hạ tầng</t>
  </si>
  <si>
    <t>deployment, chưa có nội dung về nếu dữ liệu mới vào thì làm sao biết dữ liệu nào là dữ liệu mới, vector database sẽ update lại hoàn toàn hay thêm dữ liệu mới vào thôi</t>
  </si>
  <si>
    <t>về cập nhập dữ liệu thời gian thực thì nếu dữ liệu mới vào thì làm sao mà phân tích giá mới giá cũ, lưu vào vector database thì ghi đè hay ghi mới.</t>
  </si>
  <si>
    <t>Best Enterprise Logic, Best Cost Thinking, Best Reliability Mindset, Best Track Recommendation, Best Critical Feedback</t>
  </si>
  <si>
    <t>NHÓM 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</si>
</sst>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rgb="FF434343"/>
      <name val="Roboto"/>
    </font>
    <font>
      <color theme="1"/>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7">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164" xfId="0" applyAlignment="1" applyBorder="1" applyFill="1" applyFont="1" applyNumberFormat="1">
      <alignment horizontal="right" shrinkToFit="0" wrapText="0"/>
    </xf>
    <xf borderId="2" fillId="2" fontId="1" numFmtId="0" xfId="0" applyAlignment="1" applyBorder="1" applyFont="1">
      <alignment shrinkToFit="0" wrapText="0"/>
    </xf>
    <xf borderId="2" fillId="2" fontId="1" numFmtId="0" xfId="0" applyAlignment="1" applyBorder="1" applyFont="1">
      <alignment horizontal="right" shrinkToFit="0" wrapText="0"/>
    </xf>
    <xf borderId="2" fillId="2" fontId="2" numFmtId="0" xfId="0" applyBorder="1" applyFont="1"/>
    <xf borderId="3" fillId="2" fontId="1" numFmtId="0" xfId="0" applyAlignment="1" applyBorder="1" applyFont="1">
      <alignment shrinkToFit="0" wrapText="0"/>
    </xf>
    <xf borderId="0" fillId="2" fontId="1" numFmtId="0" xfId="0" applyAlignment="1" applyFont="1">
      <alignment shrinkToFit="0" vertical="bottom" wrapText="0"/>
    </xf>
    <xf borderId="4" fillId="3" fontId="1" numFmtId="164" xfId="0" applyAlignment="1" applyBorder="1" applyFill="1" applyFont="1" applyNumberFormat="1">
      <alignment horizontal="right" shrinkToFit="0" vertical="bottom" wrapText="0"/>
    </xf>
    <xf borderId="5" fillId="3" fontId="1" numFmtId="0" xfId="0" applyAlignment="1" applyBorder="1" applyFont="1">
      <alignment shrinkToFit="0" vertical="bottom" wrapText="0"/>
    </xf>
    <xf borderId="5" fillId="3" fontId="1" numFmtId="0" xfId="0" applyAlignment="1" applyBorder="1" applyFont="1">
      <alignment horizontal="right" shrinkToFit="0" vertical="bottom" wrapText="0"/>
    </xf>
    <xf borderId="5" fillId="3" fontId="2" numFmtId="0" xfId="0" applyAlignment="1" applyBorder="1" applyFont="1">
      <alignment vertical="bottom"/>
    </xf>
    <xf borderId="6" fillId="3" fontId="1" numFmtId="0" xfId="0" applyAlignment="1" applyBorder="1" applyFont="1">
      <alignment shrinkToFit="0" vertical="bottom" wrapText="0"/>
    </xf>
    <xf borderId="0" fillId="3" fontId="1" numFmtId="0" xfId="0" applyAlignment="1" applyFont="1">
      <alignment shrinkToFit="0" vertical="bottom" wrapText="0"/>
    </xf>
    <xf borderId="0" fillId="0" fontId="2" numFmtId="0" xfId="0" applyAlignment="1" applyFont="1">
      <alignment vertical="bottom"/>
    </xf>
    <xf borderId="4" fillId="3" fontId="1" numFmtId="164" xfId="0" applyAlignment="1" applyBorder="1" applyFont="1" applyNumberFormat="1">
      <alignment horizontal="right" shrinkToFit="0" wrapText="0"/>
    </xf>
    <xf borderId="5" fillId="3" fontId="1" numFmtId="0" xfId="0" applyAlignment="1" applyBorder="1" applyFont="1">
      <alignment shrinkToFit="0" wrapText="0"/>
    </xf>
    <xf borderId="5" fillId="3" fontId="1" numFmtId="0" xfId="0" applyAlignment="1" applyBorder="1" applyFont="1">
      <alignment horizontal="right" shrinkToFit="0" wrapText="0"/>
    </xf>
    <xf borderId="5" fillId="3" fontId="2" numFmtId="0" xfId="0" applyBorder="1" applyFont="1"/>
    <xf borderId="6" fillId="3" fontId="1"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Trang tính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X5"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3.0"/>
  </cols>
  <sheetData>
    <row r="1">
      <c r="A1" s="1">
        <v>46134.7326860301</v>
      </c>
      <c r="B1" s="2" t="s">
        <v>0</v>
      </c>
      <c r="C1" s="2" t="s">
        <v>1</v>
      </c>
      <c r="D1" s="2" t="s">
        <v>2</v>
      </c>
      <c r="E1" s="2" t="s">
        <v>3</v>
      </c>
      <c r="F1" s="3">
        <v>12.0</v>
      </c>
      <c r="G1" s="3">
        <v>16.0</v>
      </c>
      <c r="H1" s="3">
        <v>12.0</v>
      </c>
      <c r="I1" s="3">
        <v>12.0</v>
      </c>
      <c r="J1" s="3">
        <v>8.0</v>
      </c>
      <c r="K1" s="4"/>
      <c r="L1" s="3">
        <v>4.0</v>
      </c>
      <c r="M1" s="2" t="s">
        <v>4</v>
      </c>
      <c r="N1" s="2" t="s">
        <v>5</v>
      </c>
      <c r="O1" s="2" t="s">
        <v>6</v>
      </c>
      <c r="P1" s="4"/>
      <c r="Q1" s="2" t="s">
        <v>7</v>
      </c>
      <c r="R1" s="3">
        <f t="shared" ref="R1:R5" si="1">IF(A1="","",F1+G1+H1+I1+J1+L1)</f>
        <v>64</v>
      </c>
      <c r="S1" s="2" t="s">
        <v>8</v>
      </c>
      <c r="T1" s="2" t="s">
        <v>9</v>
      </c>
      <c r="U1" s="5" t="str">
        <f>IFERROR(__xludf.DUMMYFUNCTION("IF(B1="""","""",""Zone ""&amp;IFERROR(VALUE(REGEXEXTRACT(TRIM(B1),""\d+"")),REGEXEXTRACT(TRIM(B1),""\d+"")))"),"Zone 5")</f>
        <v>Zone 5</v>
      </c>
      <c r="V1" s="6"/>
      <c r="W1" s="6"/>
      <c r="X1" s="6"/>
    </row>
    <row r="2">
      <c r="A2" s="1">
        <v>46134.719472627316</v>
      </c>
      <c r="B2" s="2" t="s">
        <v>0</v>
      </c>
      <c r="C2" s="2" t="s">
        <v>1</v>
      </c>
      <c r="D2" s="2" t="s">
        <v>10</v>
      </c>
      <c r="E2" s="2" t="s">
        <v>11</v>
      </c>
      <c r="F2" s="3">
        <v>9.0</v>
      </c>
      <c r="G2" s="3">
        <v>12.0</v>
      </c>
      <c r="H2" s="3">
        <v>16.0</v>
      </c>
      <c r="I2" s="3">
        <v>9.0</v>
      </c>
      <c r="J2" s="3">
        <v>8.0</v>
      </c>
      <c r="K2" s="4"/>
      <c r="L2" s="3">
        <v>4.0</v>
      </c>
      <c r="M2" s="2" t="s">
        <v>12</v>
      </c>
      <c r="N2" s="2" t="s">
        <v>13</v>
      </c>
      <c r="O2" s="2" t="s">
        <v>14</v>
      </c>
      <c r="P2" s="4"/>
      <c r="Q2" s="2" t="s">
        <v>15</v>
      </c>
      <c r="R2" s="3">
        <f t="shared" si="1"/>
        <v>58</v>
      </c>
      <c r="S2" s="2" t="s">
        <v>16</v>
      </c>
      <c r="T2" s="2" t="s">
        <v>9</v>
      </c>
      <c r="U2" s="5" t="str">
        <f>IFERROR(__xludf.DUMMYFUNCTION("IF(B2="""","""",""Zone ""&amp;IFERROR(VALUE(REGEXEXTRACT(TRIM(B2),""\d+"")),REGEXEXTRACT(TRIM(B2),""\d+"")))"),"Zone 5")</f>
        <v>Zone 5</v>
      </c>
      <c r="V2" s="6"/>
      <c r="W2" s="6"/>
      <c r="X2" s="6"/>
    </row>
    <row r="3">
      <c r="A3" s="7">
        <v>46134.69787109953</v>
      </c>
      <c r="B3" s="8" t="s">
        <v>0</v>
      </c>
      <c r="C3" s="8" t="s">
        <v>1</v>
      </c>
      <c r="D3" s="8" t="s">
        <v>17</v>
      </c>
      <c r="E3" s="8" t="s">
        <v>18</v>
      </c>
      <c r="F3" s="9">
        <v>15.0</v>
      </c>
      <c r="G3" s="9">
        <v>20.0</v>
      </c>
      <c r="H3" s="9">
        <v>20.0</v>
      </c>
      <c r="I3" s="9">
        <v>12.0</v>
      </c>
      <c r="J3" s="9">
        <v>8.0</v>
      </c>
      <c r="K3" s="10"/>
      <c r="L3" s="9">
        <v>4.0</v>
      </c>
      <c r="M3" s="8" t="s">
        <v>19</v>
      </c>
      <c r="N3" s="8" t="s">
        <v>20</v>
      </c>
      <c r="O3" s="8" t="s">
        <v>21</v>
      </c>
      <c r="P3" s="10"/>
      <c r="Q3" s="8" t="s">
        <v>22</v>
      </c>
      <c r="R3" s="9">
        <f t="shared" si="1"/>
        <v>79</v>
      </c>
      <c r="S3" s="8" t="s">
        <v>23</v>
      </c>
      <c r="T3" s="8" t="s">
        <v>9</v>
      </c>
      <c r="U3" s="11" t="str">
        <f>IFERROR(__xludf.DUMMYFUNCTION("IF(B3="""","""",""Zone ""&amp;IFERROR(VALUE(REGEXEXTRACT(TRIM(B3),""\d+"")),REGEXEXTRACT(TRIM(B3),""\d+"")))"),"Zone 5")</f>
        <v>Zone 5</v>
      </c>
      <c r="V3" s="12"/>
      <c r="W3" s="12"/>
      <c r="X3" s="12"/>
      <c r="Y3" s="13"/>
      <c r="Z3" s="13"/>
    </row>
    <row r="4">
      <c r="A4" s="14">
        <v>46134.68897821759</v>
      </c>
      <c r="B4" s="15" t="s">
        <v>0</v>
      </c>
      <c r="C4" s="15" t="s">
        <v>24</v>
      </c>
      <c r="D4" s="15" t="s">
        <v>25</v>
      </c>
      <c r="E4" s="15" t="s">
        <v>26</v>
      </c>
      <c r="F4" s="16">
        <v>9.0</v>
      </c>
      <c r="G4" s="16">
        <v>12.0</v>
      </c>
      <c r="H4" s="16">
        <v>12.0</v>
      </c>
      <c r="I4" s="16">
        <v>6.0</v>
      </c>
      <c r="J4" s="16">
        <v>6.0</v>
      </c>
      <c r="K4" s="17"/>
      <c r="L4" s="16">
        <v>3.0</v>
      </c>
      <c r="M4" s="15" t="s">
        <v>27</v>
      </c>
      <c r="N4" s="15" t="s">
        <v>28</v>
      </c>
      <c r="O4" s="15" t="s">
        <v>29</v>
      </c>
      <c r="P4" s="17"/>
      <c r="Q4" s="15" t="s">
        <v>30</v>
      </c>
      <c r="R4" s="16">
        <f t="shared" si="1"/>
        <v>48</v>
      </c>
      <c r="S4" s="15" t="s">
        <v>31</v>
      </c>
      <c r="T4" s="15" t="s">
        <v>9</v>
      </c>
      <c r="U4" s="18" t="str">
        <f>IFERROR(__xludf.DUMMYFUNCTION("IF(B4="""","""",""Zone ""&amp;IFERROR(VALUE(REGEXEXTRACT(TRIM(B4),""\d+"")),REGEXEXTRACT(TRIM(B4),""\d+"")))"),"Zone 5")</f>
        <v>Zone 5</v>
      </c>
      <c r="V4" s="13"/>
      <c r="W4" s="13"/>
      <c r="X4" s="13"/>
    </row>
    <row r="5">
      <c r="A5" s="14">
        <v>46134.70661671297</v>
      </c>
      <c r="B5" s="15" t="s">
        <v>0</v>
      </c>
      <c r="C5" s="15" t="s">
        <v>24</v>
      </c>
      <c r="D5" s="15" t="s">
        <v>32</v>
      </c>
      <c r="E5" s="15" t="s">
        <v>33</v>
      </c>
      <c r="F5" s="16">
        <v>15.0</v>
      </c>
      <c r="G5" s="16">
        <v>20.0</v>
      </c>
      <c r="H5" s="16">
        <v>16.0</v>
      </c>
      <c r="I5" s="16">
        <v>12.0</v>
      </c>
      <c r="J5" s="16">
        <v>8.0</v>
      </c>
      <c r="K5" s="17"/>
      <c r="L5" s="16">
        <v>5.0</v>
      </c>
      <c r="M5" s="15" t="s">
        <v>34</v>
      </c>
      <c r="N5" s="15" t="s">
        <v>35</v>
      </c>
      <c r="O5" s="15" t="s">
        <v>36</v>
      </c>
      <c r="P5" s="17"/>
      <c r="Q5" s="15" t="s">
        <v>37</v>
      </c>
      <c r="R5" s="16">
        <f t="shared" si="1"/>
        <v>76</v>
      </c>
      <c r="S5" s="15" t="s">
        <v>38</v>
      </c>
      <c r="T5" s="15" t="s">
        <v>9</v>
      </c>
      <c r="U5" s="18" t="str">
        <f>IFERROR(__xludf.DUMMYFUNCTION("IF(B5="""","""",""Zone ""&amp;IFERROR(VALUE(REGEXEXTRACT(TRIM(B5),""\d+"")),REGEXEXTRACT(TRIM(B5),""\d+"")))"),"Zone 5")</f>
        <v>Zone 5</v>
      </c>
      <c r="V5" s="13"/>
      <c r="W5" s="13"/>
      <c r="X5" s="13"/>
    </row>
  </sheetData>
  <drawing r:id="rId1"/>
  <tableParts count="1">
    <tablePart r:id="rId3"/>
  </tableParts>
</worksheet>
</file>